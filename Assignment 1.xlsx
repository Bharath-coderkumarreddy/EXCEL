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ka\Downloads\"/>
    </mc:Choice>
  </mc:AlternateContent>
  <xr:revisionPtr revIDLastSave="0" documentId="8_{7A586F64-8815-4CDA-BCE4-FFF8C56F71D4}" xr6:coauthVersionLast="47" xr6:coauthVersionMax="47" xr10:uidLastSave="{00000000-0000-0000-0000-000000000000}"/>
  <bookViews>
    <workbookView xWindow="-110" yWindow="-110" windowWidth="19420" windowHeight="10300" xr2:uid="{C14B6A28-2EAB-453F-BA59-087AE8229900}"/>
  </bookViews>
  <sheets>
    <sheet name="Assignment1 - Data Exploration " sheetId="2" r:id="rId1"/>
    <sheet name="Sheet1" sheetId="1" r:id="rId2"/>
  </sheets>
  <definedNames>
    <definedName name="ExternalData_1" localSheetId="0" hidden="1">'Assignment1 - Data Exploration '!$A$1:$G$37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" i="2" l="1"/>
  <c r="H36" i="2"/>
  <c r="H37" i="2"/>
  <c r="I36" i="2"/>
  <c r="I37" i="2"/>
  <c r="J36" i="2"/>
  <c r="J37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K4" i="2"/>
  <c r="K7" i="2"/>
  <c r="K10" i="2"/>
  <c r="K15" i="2"/>
  <c r="K18" i="2"/>
  <c r="K27" i="2"/>
  <c r="K31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B2C012-EAAB-4767-8F32-F53EE4ED93B0}" keepAlive="1" name="Query - Assignment1 - Data Exploration - Dataset" description="Connection to the 'Assignment1 - Data Exploration - Dataset' query in the workbook." type="5" refreshedVersion="7" background="1" saveData="1">
    <dbPr connection="Provider=Microsoft.Mashup.OleDb.1;Data Source=$Workbook$;Location=&quot;Assignment1 - Data Exploration - Dataset&quot;;Extended Properties=&quot;&quot;" command="SELECT * FROM [Assignment1 - Data Exploration - Dataset]"/>
  </connection>
</connections>
</file>

<file path=xl/sharedStrings.xml><?xml version="1.0" encoding="utf-8"?>
<sst xmlns="http://schemas.openxmlformats.org/spreadsheetml/2006/main" count="162" uniqueCount="113">
  <si>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</si>
  <si>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</si>
  <si>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</si>
  <si>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</si>
  <si>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</si>
  <si>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</si>
  <si>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</si>
  <si>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</si>
  <si>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</si>
  <si>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</si>
  <si>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</si>
  <si>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</si>
  <si>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</si>
  <si>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</si>
  <si>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</si>
  <si>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</si>
  <si>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</si>
  <si>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</si>
  <si>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</si>
  <si>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</si>
  <si>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</si>
  <si>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</si>
  <si>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</si>
  <si>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</si>
  <si>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</si>
  <si>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</si>
  <si>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</si>
  <si>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</si>
  <si>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</si>
  <si>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</si>
  <si>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</si>
  <si>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</si>
  <si>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</si>
  <si>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</si>
  <si>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</si>
  <si>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</si>
  <si>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</si>
  <si>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</si>
  <si>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</si>
  <si>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</si>
  <si>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</si>
  <si>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</si>
  <si>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</si>
  <si>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</si>
  <si>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</si>
  <si>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</si>
  <si>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</si>
  <si>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</si>
  <si>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</si>
  <si>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</si>
  <si>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</si>
  <si>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</si>
  <si>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</si>
  <si>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</si>
  <si>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</si>
  <si>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</si>
  <si>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</si>
  <si>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</si>
  <si>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</si>
  <si>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</si>
  <si>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</si>
  <si>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</si>
  <si>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</si>
  <si>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</si>
  <si>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</si>
  <si>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</si>
  <si>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</si>
  <si>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</si>
  <si>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</si>
  <si>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</si>
  <si>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</si>
  <si>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</si>
  <si>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</si>
  <si>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</si>
  <si>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</si>
  <si>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</si>
  <si>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</si>
  <si>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</si>
  <si>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</si>
  <si>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</si>
  <si>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</si>
  <si>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</si>
  <si>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</si>
  <si>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</si>
  <si>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</si>
  <si>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</si>
  <si>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</si>
  <si>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</si>
  <si>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</si>
  <si>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</si>
  <si>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</si>
  <si>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</si>
  <si>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</si>
  <si>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1)SUM,COUNT,AVERAGE</t>
  </si>
  <si>
    <t>• What is the total price of all products in the dataset?</t>
  </si>
  <si>
    <t>• How many products are there in the dataset?</t>
  </si>
  <si>
    <t>• Calculate the average price of the products.</t>
  </si>
  <si>
    <t>2)MIN &amp; MAX</t>
  </si>
  <si>
    <t>• Determine the minimum price among all products.</t>
  </si>
  <si>
    <t>• Find the maximum price among all products.</t>
  </si>
  <si>
    <t>3)IF FUNCTION</t>
  </si>
  <si>
    <t>• Using an IF function, create a new column named Price Range to categorize products with a price greater than or equal to $500 as 'High Price' and others as 'Standard Price'.</t>
  </si>
  <si>
    <t xml:space="preserve"> Price Range</t>
  </si>
  <si>
    <t>4)SUMIF AND COUNTIF</t>
  </si>
  <si>
    <t>• Calculate the total price for products in the 'Electronics' category using the SUMIF function.</t>
  </si>
  <si>
    <t>• Determine the count of products with a price less than $100 using the COUNTIF function.</t>
  </si>
  <si>
    <t>• Create a new column named Day with the first 2 characters of each 'Product ID' using the LEFT function.</t>
  </si>
  <si>
    <t>Day</t>
  </si>
  <si>
    <t>5) Text Formatting - LEFT, RIGHT, MID:</t>
  </si>
  <si>
    <t>• Create a new column named Country Code by extracting the last 2 characters from the 'Product ID' column using the RIGHT function.</t>
  </si>
  <si>
    <t>Country Code</t>
  </si>
  <si>
    <t>Month</t>
  </si>
  <si>
    <t>• Create a new column named Month by extracting 4th to 6th characters from the 'Product ID' column using the MID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</si>
</sst>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Fon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3002644</xdr:colOff>
      <xdr:row>4</xdr:row>
      <xdr:rowOff>31751</xdr:rowOff>
    </xdr:from>
    <xdr:ext cx="7235582" cy="167821"/>
    <xdr:pic>
      <xdr:nvPicPr>
        <xdr:cNvPr id="11" name="Picture 10">
          <a:extLst>
            <a:ext uri="{FF2B5EF4-FFF2-40B4-BE49-F238E27FC236}">
              <a16:creationId xmlns:a16="http://schemas.microsoft.com/office/drawing/2014/main" id="{CF0ECCCA-E5E4-43B6-BA58-1133ECA8F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57858" y="757465"/>
          <a:ext cx="7235582" cy="167821"/>
        </a:xfrm>
        <a:prstGeom prst="rect">
          <a:avLst/>
        </a:prstGeom>
      </xdr:spPr>
    </xdr:pic>
    <xdr:clientData/>
  </xdr:oneCellAnchor>
  <xdr:oneCellAnchor>
    <xdr:from>
      <xdr:col>10</xdr:col>
      <xdr:colOff>3247572</xdr:colOff>
      <xdr:row>7</xdr:row>
      <xdr:rowOff>0</xdr:rowOff>
    </xdr:from>
    <xdr:ext cx="6879092" cy="272143"/>
    <xdr:pic>
      <xdr:nvPicPr>
        <xdr:cNvPr id="12" name="Picture 11">
          <a:extLst>
            <a:ext uri="{FF2B5EF4-FFF2-40B4-BE49-F238E27FC236}">
              <a16:creationId xmlns:a16="http://schemas.microsoft.com/office/drawing/2014/main" id="{770C4B8B-91D4-4AD5-9390-51BC12941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402786" y="1270000"/>
          <a:ext cx="6879092" cy="272143"/>
        </a:xfrm>
        <a:prstGeom prst="rect">
          <a:avLst/>
        </a:prstGeom>
      </xdr:spPr>
    </xdr:pic>
    <xdr:clientData/>
  </xdr:oneCellAnchor>
  <xdr:oneCellAnchor>
    <xdr:from>
      <xdr:col>10</xdr:col>
      <xdr:colOff>3073376</xdr:colOff>
      <xdr:row>10</xdr:row>
      <xdr:rowOff>11111</xdr:rowOff>
    </xdr:from>
    <xdr:ext cx="6967561" cy="451532"/>
    <xdr:pic>
      <xdr:nvPicPr>
        <xdr:cNvPr id="13" name="Picture 12">
          <a:extLst>
            <a:ext uri="{FF2B5EF4-FFF2-40B4-BE49-F238E27FC236}">
              <a16:creationId xmlns:a16="http://schemas.microsoft.com/office/drawing/2014/main" id="{73BCD434-8D82-45BA-BC5C-2F44C0F2A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28590" y="1825397"/>
          <a:ext cx="6967561" cy="451532"/>
        </a:xfrm>
        <a:prstGeom prst="rect">
          <a:avLst/>
        </a:prstGeom>
      </xdr:spPr>
    </xdr:pic>
    <xdr:clientData/>
  </xdr:oneCellAnchor>
  <xdr:oneCellAnchor>
    <xdr:from>
      <xdr:col>10</xdr:col>
      <xdr:colOff>2739572</xdr:colOff>
      <xdr:row>15</xdr:row>
      <xdr:rowOff>4762</xdr:rowOff>
    </xdr:from>
    <xdr:ext cx="7338785" cy="203880"/>
    <xdr:pic>
      <xdr:nvPicPr>
        <xdr:cNvPr id="14" name="Picture 13">
          <a:extLst>
            <a:ext uri="{FF2B5EF4-FFF2-40B4-BE49-F238E27FC236}">
              <a16:creationId xmlns:a16="http://schemas.microsoft.com/office/drawing/2014/main" id="{0AE0A934-08AA-45C6-9CA8-5BB94A0EC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94786" y="2726191"/>
          <a:ext cx="7338785" cy="203880"/>
        </a:xfrm>
        <a:prstGeom prst="rect">
          <a:avLst/>
        </a:prstGeom>
      </xdr:spPr>
    </xdr:pic>
    <xdr:clientData/>
  </xdr:oneCellAnchor>
  <xdr:oneCellAnchor>
    <xdr:from>
      <xdr:col>10</xdr:col>
      <xdr:colOff>2839357</xdr:colOff>
      <xdr:row>17</xdr:row>
      <xdr:rowOff>177801</xdr:rowOff>
    </xdr:from>
    <xdr:ext cx="7325406" cy="336394"/>
    <xdr:pic>
      <xdr:nvPicPr>
        <xdr:cNvPr id="15" name="Picture 14">
          <a:extLst>
            <a:ext uri="{FF2B5EF4-FFF2-40B4-BE49-F238E27FC236}">
              <a16:creationId xmlns:a16="http://schemas.microsoft.com/office/drawing/2014/main" id="{D9C35CE9-ABF8-4269-9357-36F2EF887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94571" y="3262087"/>
          <a:ext cx="7325406" cy="336394"/>
        </a:xfrm>
        <a:prstGeom prst="rect">
          <a:avLst/>
        </a:prstGeom>
      </xdr:spPr>
    </xdr:pic>
    <xdr:clientData/>
  </xdr:oneCellAnchor>
  <xdr:oneCellAnchor>
    <xdr:from>
      <xdr:col>10</xdr:col>
      <xdr:colOff>1025771</xdr:colOff>
      <xdr:row>27</xdr:row>
      <xdr:rowOff>1</xdr:rowOff>
    </xdr:from>
    <xdr:ext cx="9300865" cy="281214"/>
    <xdr:pic>
      <xdr:nvPicPr>
        <xdr:cNvPr id="17" name="Picture 16">
          <a:extLst>
            <a:ext uri="{FF2B5EF4-FFF2-40B4-BE49-F238E27FC236}">
              <a16:creationId xmlns:a16="http://schemas.microsoft.com/office/drawing/2014/main" id="{B7429825-0696-4856-952A-AB75B81A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180985" y="4898572"/>
          <a:ext cx="9300865" cy="281214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31</xdr:row>
      <xdr:rowOff>-1</xdr:rowOff>
    </xdr:from>
    <xdr:ext cx="10459618" cy="299357"/>
    <xdr:pic>
      <xdr:nvPicPr>
        <xdr:cNvPr id="18" name="Picture 17">
          <a:extLst>
            <a:ext uri="{FF2B5EF4-FFF2-40B4-BE49-F238E27FC236}">
              <a16:creationId xmlns:a16="http://schemas.microsoft.com/office/drawing/2014/main" id="{9D0802F4-3B95-4511-8214-594398B6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55214" y="5624285"/>
          <a:ext cx="10459618" cy="299357"/>
        </a:xfrm>
        <a:prstGeom prst="rect">
          <a:avLst/>
        </a:prstGeom>
      </xdr:spPr>
    </xdr:pic>
    <xdr:clientData/>
  </xdr:oneCellAnchor>
  <xdr:oneCellAnchor>
    <xdr:from>
      <xdr:col>10</xdr:col>
      <xdr:colOff>2812143</xdr:colOff>
      <xdr:row>36</xdr:row>
      <xdr:rowOff>117928</xdr:rowOff>
    </xdr:from>
    <xdr:ext cx="3474357" cy="301246"/>
    <xdr:pic>
      <xdr:nvPicPr>
        <xdr:cNvPr id="19" name="Picture 18">
          <a:extLst>
            <a:ext uri="{FF2B5EF4-FFF2-40B4-BE49-F238E27FC236}">
              <a16:creationId xmlns:a16="http://schemas.microsoft.com/office/drawing/2014/main" id="{3B0A94F8-94FE-4C2C-801D-DB4E247B5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967357" y="6649357"/>
          <a:ext cx="3474357" cy="301246"/>
        </a:xfrm>
        <a:prstGeom prst="rect">
          <a:avLst/>
        </a:prstGeom>
      </xdr:spPr>
    </xdr:pic>
    <xdr:clientData/>
  </xdr:oneCellAnchor>
  <xdr:twoCellAnchor editAs="oneCell">
    <xdr:from>
      <xdr:col>10</xdr:col>
      <xdr:colOff>2386416</xdr:colOff>
      <xdr:row>41</xdr:row>
      <xdr:rowOff>0</xdr:rowOff>
    </xdr:from>
    <xdr:to>
      <xdr:col>10</xdr:col>
      <xdr:colOff>6413500</xdr:colOff>
      <xdr:row>42</xdr:row>
      <xdr:rowOff>83752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CC78657-0DD3-42BE-AF06-DFB4D0231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541630" y="7438571"/>
          <a:ext cx="4027084" cy="265181"/>
        </a:xfrm>
        <a:prstGeom prst="rect">
          <a:avLst/>
        </a:prstGeom>
      </xdr:spPr>
    </xdr:pic>
    <xdr:clientData/>
  </xdr:twoCellAnchor>
  <xdr:twoCellAnchor editAs="oneCell">
    <xdr:from>
      <xdr:col>10</xdr:col>
      <xdr:colOff>3084286</xdr:colOff>
      <xdr:row>45</xdr:row>
      <xdr:rowOff>63501</xdr:rowOff>
    </xdr:from>
    <xdr:to>
      <xdr:col>10</xdr:col>
      <xdr:colOff>5770711</xdr:colOff>
      <xdr:row>47</xdr:row>
      <xdr:rowOff>18631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305BB7B-9201-4CEA-93E7-51CD12298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239500" y="8227787"/>
          <a:ext cx="2686425" cy="317987"/>
        </a:xfrm>
        <a:prstGeom prst="rect">
          <a:avLst/>
        </a:prstGeom>
      </xdr:spPr>
    </xdr:pic>
    <xdr:clientData/>
  </xdr:twoCellAnchor>
  <xdr:twoCellAnchor editAs="oneCell">
    <xdr:from>
      <xdr:col>10</xdr:col>
      <xdr:colOff>2460626</xdr:colOff>
      <xdr:row>22</xdr:row>
      <xdr:rowOff>0</xdr:rowOff>
    </xdr:from>
    <xdr:to>
      <xdr:col>10</xdr:col>
      <xdr:colOff>7500938</xdr:colOff>
      <xdr:row>24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14727CD-1189-4692-ADF3-52D82E3DA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23022" y="4074583"/>
          <a:ext cx="5040312" cy="370417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3BFC91D-07EC-4633-948B-71B5D42FA5DD}" autoFormatId="16" applyNumberFormats="0" applyBorderFormats="0" applyFontFormats="0" applyPatternFormats="0" applyAlignmentFormats="0" applyWidthHeightFormats="0">
  <queryTableRefresh nextId="12" unboundColumnsRight="3">
    <queryTableFields count="10">
      <queryTableField id="1" name="Product ID" tableColumnId="1"/>
      <queryTableField id="2" name="Product Name" tableColumnId="2"/>
      <queryTableField id="3" name="Brand Name" tableColumnId="3"/>
      <queryTableField id="4" name="Price ($)" tableColumnId="4"/>
      <queryTableField id="5" name="Quantity" tableColumnId="5"/>
      <queryTableField id="6" name="Category" tableColumnId="6"/>
      <queryTableField id="7" name="Column1" tableColumnId="7"/>
      <queryTableField id="9" dataBound="0" tableColumnId="9"/>
      <queryTableField id="10" dataBound="0" tableColumnId="10"/>
      <queryTableField id="11" dataBound="0" tableColumnId="11"/>
    </queryTableFields>
    <queryTableDeletedFields count="1">
      <deletedField name="_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4DA5A4-88B7-4341-A6D2-123776200A82}" name="Assignment1___Data_Exploration___Dataset" displayName="Assignment1___Data_Exploration___Dataset" ref="A1:J37" tableType="queryTable" totalsRowShown="0">
  <autoFilter ref="A1:J37" xr:uid="{624DA5A4-88B7-4341-A6D2-123776200A82}"/>
  <tableColumns count="10">
    <tableColumn id="1" xr3:uid="{D1314E18-1AD0-48CE-AD20-582E982B7683}" uniqueName="1" name="Product ID" queryTableFieldId="1" dataDxfId="7"/>
    <tableColumn id="2" xr3:uid="{BE0CBF7F-0160-4336-AF53-3DFBD220F03E}" uniqueName="2" name="Product Name" queryTableFieldId="2" dataDxfId="6"/>
    <tableColumn id="3" xr3:uid="{F1EBF2FA-A9F1-455C-A858-024D207AB905}" uniqueName="3" name="Brand Name" queryTableFieldId="3" dataDxfId="5"/>
    <tableColumn id="4" xr3:uid="{CFA1149F-25D1-47F3-A9DE-9FFDDD33F6B8}" uniqueName="4" name="Price ($)" queryTableFieldId="4"/>
    <tableColumn id="5" xr3:uid="{12952641-C77B-49CB-A953-B550D3A8B83F}" uniqueName="5" name="Quantity" queryTableFieldId="5"/>
    <tableColumn id="6" xr3:uid="{02C63DAD-1D62-42F8-A5E0-AF2B8190C5CD}" uniqueName="6" name="Category" queryTableFieldId="6" dataDxfId="4"/>
    <tableColumn id="7" xr3:uid="{97368ABB-E588-42F2-B8C0-72C5E942B4FD}" uniqueName="7" name=" Price Range" queryTableFieldId="7" dataDxfId="3"/>
    <tableColumn id="9" xr3:uid="{A212FCEE-76CB-468A-A3E4-B15A1830C697}" uniqueName="9" name="Day" queryTableFieldId="9" dataDxfId="2">
      <calculatedColumnFormula>LEFT(Assignment1___Data_Exploration___Dataset[[#This Row],[Product ID]],2)</calculatedColumnFormula>
    </tableColumn>
    <tableColumn id="10" xr3:uid="{4AA0CABF-226A-4FF2-A916-E4EA13CAEC14}" uniqueName="10" name="Country Code" queryTableFieldId="10" dataDxfId="1">
      <calculatedColumnFormula>RIGHT(Assignment1___Data_Exploration___Dataset[[#This Row],[Product ID]],2)</calculatedColumnFormula>
    </tableColumn>
    <tableColumn id="11" xr3:uid="{5BFF42AD-950C-4AB3-BD4D-FD0BFEB03FCB}" uniqueName="11" name="Month" queryTableFieldId="11" dataDxfId="0">
      <calculatedColumnFormula>MID(Assignment1___Data_Exploration___Dataset[[#This Row],[Product ID]],4,3)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C607-87B5-445C-BCDB-0992AA7772AB}">
  <dimension ref="A1:K44"/>
  <sheetViews>
    <sheetView tabSelected="1" zoomScale="43" zoomScaleNormal="70" workbookViewId="0">
      <selection activeCell="I43" sqref="I43"/>
    </sheetView>
  </sheetViews>
  <sheetFormatPr defaultRowHeight="14.5" x14ac:dyDescent="0.35"/>
  <cols>
    <col min="1" max="1" width="19.36328125" bestFit="1" customWidth="1"/>
    <col min="2" max="2" width="23.7265625" bestFit="1" customWidth="1"/>
    <col min="3" max="3" width="21.26953125" bestFit="1" customWidth="1"/>
    <col min="4" max="5" width="17" bestFit="1" customWidth="1"/>
    <col min="6" max="6" width="17.6328125" bestFit="1" customWidth="1"/>
    <col min="7" max="7" width="22.26953125" bestFit="1" customWidth="1"/>
    <col min="8" max="8" width="11.54296875" bestFit="1" customWidth="1"/>
    <col min="9" max="9" width="23.08984375" bestFit="1" customWidth="1"/>
    <col min="10" max="10" width="14.26953125" bestFit="1" customWidth="1"/>
    <col min="11" max="11" width="174.26953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102</v>
      </c>
      <c r="H1" t="s">
        <v>107</v>
      </c>
      <c r="I1" t="s">
        <v>110</v>
      </c>
      <c r="J1" t="s">
        <v>111</v>
      </c>
    </row>
    <row r="2" spans="1:11" x14ac:dyDescent="0.35">
      <c r="A2" s="1" t="s">
        <v>6</v>
      </c>
      <c r="B2" s="1" t="s">
        <v>7</v>
      </c>
      <c r="C2" s="1" t="s">
        <v>8</v>
      </c>
      <c r="D2">
        <v>1000</v>
      </c>
      <c r="E2">
        <v>30</v>
      </c>
      <c r="F2" s="1" t="s">
        <v>9</v>
      </c>
      <c r="G2" s="1" t="str">
        <f>IF(Assignment1___Data_Exploration___Dataset[[#This Row],[Price ($)]]&gt;500,"HighPrice","StandardPrice")</f>
        <v>HighPrice</v>
      </c>
      <c r="H2" s="1" t="str">
        <f>LEFT(Assignment1___Data_Exploration___Dataset[[#This Row],[Product ID]],2)</f>
        <v>28</v>
      </c>
      <c r="I2" s="1" t="str">
        <f>RIGHT(Assignment1___Data_Exploration___Dataset[[#This Row],[Product ID]],2)</f>
        <v>US</v>
      </c>
      <c r="J2" s="1" t="str">
        <f>MID(Assignment1___Data_Exploration___Dataset[[#This Row],[Product ID]],4,3)</f>
        <v>JAN</v>
      </c>
      <c r="K2" t="s">
        <v>93</v>
      </c>
    </row>
    <row r="3" spans="1:11" x14ac:dyDescent="0.35">
      <c r="A3" s="1" t="s">
        <v>10</v>
      </c>
      <c r="B3" s="1" t="s">
        <v>11</v>
      </c>
      <c r="C3" s="1" t="s">
        <v>12</v>
      </c>
      <c r="D3">
        <v>80</v>
      </c>
      <c r="E3">
        <v>15</v>
      </c>
      <c r="F3" s="1" t="s">
        <v>13</v>
      </c>
      <c r="G3" s="1" t="str">
        <f>IF(Assignment1___Data_Exploration___Dataset[[#This Row],[Price ($)]]&gt;500,"HighPrice","StandardPrice")</f>
        <v>StandardPrice</v>
      </c>
      <c r="H3" s="1" t="str">
        <f>LEFT(Assignment1___Data_Exploration___Dataset[[#This Row],[Product ID]],2)</f>
        <v>15</v>
      </c>
      <c r="I3" s="1" t="str">
        <f>RIGHT(Assignment1___Data_Exploration___Dataset[[#This Row],[Product ID]],2)</f>
        <v>US</v>
      </c>
      <c r="J3" s="1" t="str">
        <f>MID(Assignment1___Data_Exploration___Dataset[[#This Row],[Product ID]],4,3)</f>
        <v>FEB</v>
      </c>
      <c r="K3" t="s">
        <v>94</v>
      </c>
    </row>
    <row r="4" spans="1:11" x14ac:dyDescent="0.35">
      <c r="A4" s="1" t="s">
        <v>14</v>
      </c>
      <c r="B4" s="1" t="s">
        <v>15</v>
      </c>
      <c r="C4" s="1" t="s">
        <v>16</v>
      </c>
      <c r="D4">
        <v>130</v>
      </c>
      <c r="E4">
        <v>40</v>
      </c>
      <c r="F4" s="1" t="s">
        <v>17</v>
      </c>
      <c r="G4" s="1" t="str">
        <f>IF(Assignment1___Data_Exploration___Dataset[[#This Row],[Price ($)]]&gt;500,"HighPrice","StandardPrice")</f>
        <v>StandardPrice</v>
      </c>
      <c r="H4" s="1" t="str">
        <f>LEFT(Assignment1___Data_Exploration___Dataset[[#This Row],[Product ID]],2)</f>
        <v>03</v>
      </c>
      <c r="I4" s="1" t="str">
        <f>RIGHT(Assignment1___Data_Exploration___Dataset[[#This Row],[Product ID]],2)</f>
        <v>US</v>
      </c>
      <c r="J4" s="1" t="str">
        <f>MID(Assignment1___Data_Exploration___Dataset[[#This Row],[Product ID]],4,3)</f>
        <v>MAR</v>
      </c>
      <c r="K4">
        <f>SUM(Assignment1___Data_Exploration___Dataset[Price ($)])</f>
        <v>10100</v>
      </c>
    </row>
    <row r="5" spans="1:11" x14ac:dyDescent="0.35">
      <c r="A5" s="1" t="s">
        <v>18</v>
      </c>
      <c r="B5" s="1" t="s">
        <v>19</v>
      </c>
      <c r="C5" s="1" t="s">
        <v>20</v>
      </c>
      <c r="D5">
        <v>900</v>
      </c>
      <c r="E5">
        <v>25</v>
      </c>
      <c r="F5" s="1" t="s">
        <v>9</v>
      </c>
      <c r="G5" s="1" t="str">
        <f>IF(Assignment1___Data_Exploration___Dataset[[#This Row],[Price ($)]]&gt;500,"HighPrice","StandardPrice")</f>
        <v>HighPrice</v>
      </c>
      <c r="H5" s="1" t="str">
        <f>LEFT(Assignment1___Data_Exploration___Dataset[[#This Row],[Product ID]],2)</f>
        <v>11</v>
      </c>
      <c r="I5" s="1" t="str">
        <f>RIGHT(Assignment1___Data_Exploration___Dataset[[#This Row],[Product ID]],2)</f>
        <v>US</v>
      </c>
      <c r="J5" s="1" t="str">
        <f>MID(Assignment1___Data_Exploration___Dataset[[#This Row],[Product ID]],4,3)</f>
        <v>APR</v>
      </c>
    </row>
    <row r="6" spans="1:11" x14ac:dyDescent="0.35">
      <c r="A6" s="1" t="s">
        <v>21</v>
      </c>
      <c r="B6" s="1" t="s">
        <v>22</v>
      </c>
      <c r="C6" s="1" t="s">
        <v>23</v>
      </c>
      <c r="D6">
        <v>70</v>
      </c>
      <c r="E6">
        <v>20</v>
      </c>
      <c r="F6" s="1" t="s">
        <v>24</v>
      </c>
      <c r="G6" s="1" t="str">
        <f>IF(Assignment1___Data_Exploration___Dataset[[#This Row],[Price ($)]]&gt;500,"HighPrice","StandardPrice")</f>
        <v>StandardPrice</v>
      </c>
      <c r="H6" s="1" t="str">
        <f>LEFT(Assignment1___Data_Exploration___Dataset[[#This Row],[Product ID]],2)</f>
        <v>22</v>
      </c>
      <c r="I6" s="1" t="str">
        <f>RIGHT(Assignment1___Data_Exploration___Dataset[[#This Row],[Product ID]],2)</f>
        <v>US</v>
      </c>
      <c r="J6" s="1" t="str">
        <f>MID(Assignment1___Data_Exploration___Dataset[[#This Row],[Product ID]],4,3)</f>
        <v>MAY</v>
      </c>
      <c r="K6" t="s">
        <v>95</v>
      </c>
    </row>
    <row r="7" spans="1:11" x14ac:dyDescent="0.35">
      <c r="A7" s="1" t="s">
        <v>25</v>
      </c>
      <c r="B7" s="1" t="s">
        <v>26</v>
      </c>
      <c r="C7" s="1" t="s">
        <v>27</v>
      </c>
      <c r="D7">
        <v>200</v>
      </c>
      <c r="E7">
        <v>45</v>
      </c>
      <c r="F7" s="1" t="s">
        <v>9</v>
      </c>
      <c r="G7" s="1" t="str">
        <f>IF(Assignment1___Data_Exploration___Dataset[[#This Row],[Price ($)]]&gt;500,"HighPrice","StandardPrice")</f>
        <v>StandardPrice</v>
      </c>
      <c r="H7" s="1" t="str">
        <f>LEFT(Assignment1___Data_Exploration___Dataset[[#This Row],[Product ID]],2)</f>
        <v>07</v>
      </c>
      <c r="I7" s="1" t="str">
        <f>RIGHT(Assignment1___Data_Exploration___Dataset[[#This Row],[Product ID]],2)</f>
        <v>UK</v>
      </c>
      <c r="J7" s="1" t="str">
        <f>MID(Assignment1___Data_Exploration___Dataset[[#This Row],[Product ID]],4,3)</f>
        <v>JUN</v>
      </c>
      <c r="K7">
        <f>COUNTA(Assignment1___Data_Exploration___Dataset[Product Name])</f>
        <v>34</v>
      </c>
    </row>
    <row r="8" spans="1:11" x14ac:dyDescent="0.35">
      <c r="A8" s="1" t="s">
        <v>28</v>
      </c>
      <c r="B8" s="1" t="s">
        <v>29</v>
      </c>
      <c r="C8" s="1" t="s">
        <v>30</v>
      </c>
      <c r="D8">
        <v>30</v>
      </c>
      <c r="E8">
        <v>5</v>
      </c>
      <c r="F8" s="1" t="s">
        <v>13</v>
      </c>
      <c r="G8" s="1" t="str">
        <f>IF(Assignment1___Data_Exploration___Dataset[[#This Row],[Price ($)]]&gt;500,"HighPrice","StandardPrice")</f>
        <v>StandardPrice</v>
      </c>
      <c r="H8" s="1" t="str">
        <f>LEFT(Assignment1___Data_Exploration___Dataset[[#This Row],[Product ID]],2)</f>
        <v>19</v>
      </c>
      <c r="I8" s="1" t="str">
        <f>RIGHT(Assignment1___Data_Exploration___Dataset[[#This Row],[Product ID]],2)</f>
        <v>UK</v>
      </c>
      <c r="J8" s="1" t="str">
        <f>MID(Assignment1___Data_Exploration___Dataset[[#This Row],[Product ID]],4,3)</f>
        <v>JUL</v>
      </c>
    </row>
    <row r="9" spans="1:11" x14ac:dyDescent="0.35">
      <c r="A9" s="1" t="s">
        <v>31</v>
      </c>
      <c r="B9" s="1" t="s">
        <v>32</v>
      </c>
      <c r="C9" s="1" t="s">
        <v>33</v>
      </c>
      <c r="D9">
        <v>90</v>
      </c>
      <c r="E9">
        <v>35</v>
      </c>
      <c r="F9" s="1" t="s">
        <v>17</v>
      </c>
      <c r="G9" s="1" t="str">
        <f>IF(Assignment1___Data_Exploration___Dataset[[#This Row],[Price ($)]]&gt;500,"HighPrice","StandardPrice")</f>
        <v>StandardPrice</v>
      </c>
      <c r="H9" s="1" t="str">
        <f>LEFT(Assignment1___Data_Exploration___Dataset[[#This Row],[Product ID]],2)</f>
        <v>23</v>
      </c>
      <c r="I9" s="1" t="str">
        <f>RIGHT(Assignment1___Data_Exploration___Dataset[[#This Row],[Product ID]],2)</f>
        <v>UK</v>
      </c>
      <c r="J9" s="1" t="str">
        <f>MID(Assignment1___Data_Exploration___Dataset[[#This Row],[Product ID]],4,3)</f>
        <v>AUG</v>
      </c>
      <c r="K9" t="s">
        <v>96</v>
      </c>
    </row>
    <row r="10" spans="1:11" x14ac:dyDescent="0.35">
      <c r="A10" s="1" t="s">
        <v>34</v>
      </c>
      <c r="B10" s="1" t="s">
        <v>35</v>
      </c>
      <c r="C10" s="1" t="s">
        <v>36</v>
      </c>
      <c r="D10">
        <v>500</v>
      </c>
      <c r="E10">
        <v>50</v>
      </c>
      <c r="F10" s="1" t="s">
        <v>9</v>
      </c>
      <c r="G10" s="1" t="str">
        <f>IF(Assignment1___Data_Exploration___Dataset[[#This Row],[Price ($)]]&gt;500,"HighPrice","StandardPrice")</f>
        <v>StandardPrice</v>
      </c>
      <c r="H10" s="1" t="str">
        <f>LEFT(Assignment1___Data_Exploration___Dataset[[#This Row],[Product ID]],2)</f>
        <v>05</v>
      </c>
      <c r="I10" s="1" t="str">
        <f>RIGHT(Assignment1___Data_Exploration___Dataset[[#This Row],[Product ID]],2)</f>
        <v>UK</v>
      </c>
      <c r="J10" s="1" t="str">
        <f>MID(Assignment1___Data_Exploration___Dataset[[#This Row],[Product ID]],4,3)</f>
        <v>SEP</v>
      </c>
      <c r="K10">
        <f>AVERAGE(Assignment1___Data_Exploration___Dataset[Price ($)])</f>
        <v>297.05882352941177</v>
      </c>
    </row>
    <row r="11" spans="1:11" x14ac:dyDescent="0.35">
      <c r="A11" s="1" t="s">
        <v>37</v>
      </c>
      <c r="B11" s="1" t="s">
        <v>38</v>
      </c>
      <c r="C11" s="1" t="s">
        <v>39</v>
      </c>
      <c r="D11">
        <v>130</v>
      </c>
      <c r="E11">
        <v>10</v>
      </c>
      <c r="F11" s="1" t="s">
        <v>24</v>
      </c>
      <c r="G11" s="1" t="str">
        <f>IF(Assignment1___Data_Exploration___Dataset[[#This Row],[Price ($)]]&gt;500,"HighPrice","StandardPrice")</f>
        <v>StandardPrice</v>
      </c>
      <c r="H11" s="1" t="str">
        <f>LEFT(Assignment1___Data_Exploration___Dataset[[#This Row],[Product ID]],2)</f>
        <v>14</v>
      </c>
      <c r="I11" s="1" t="str">
        <f>RIGHT(Assignment1___Data_Exploration___Dataset[[#This Row],[Product ID]],2)</f>
        <v>UK</v>
      </c>
      <c r="J11" s="1" t="str">
        <f>MID(Assignment1___Data_Exploration___Dataset[[#This Row],[Product ID]],4,3)</f>
        <v>OCT</v>
      </c>
    </row>
    <row r="12" spans="1:11" x14ac:dyDescent="0.35">
      <c r="A12" s="1" t="s">
        <v>40</v>
      </c>
      <c r="B12" s="1" t="s">
        <v>7</v>
      </c>
      <c r="C12" s="1" t="s">
        <v>41</v>
      </c>
      <c r="D12">
        <v>950</v>
      </c>
      <c r="E12">
        <v>25</v>
      </c>
      <c r="F12" s="1" t="s">
        <v>9</v>
      </c>
      <c r="G12" s="1" t="str">
        <f>IF(Assignment1___Data_Exploration___Dataset[[#This Row],[Price ($)]]&gt;500,"HighPrice","StandardPrice")</f>
        <v>HighPrice</v>
      </c>
      <c r="H12" s="1" t="str">
        <f>LEFT(Assignment1___Data_Exploration___Dataset[[#This Row],[Product ID]],2)</f>
        <v>17</v>
      </c>
      <c r="I12" s="1" t="str">
        <f>RIGHT(Assignment1___Data_Exploration___Dataset[[#This Row],[Product ID]],2)</f>
        <v>IN</v>
      </c>
      <c r="J12" s="1" t="str">
        <f>MID(Assignment1___Data_Exploration___Dataset[[#This Row],[Product ID]],4,3)</f>
        <v>JUN</v>
      </c>
    </row>
    <row r="13" spans="1:11" x14ac:dyDescent="0.35">
      <c r="A13" s="1" t="s">
        <v>42</v>
      </c>
      <c r="B13" s="1" t="s">
        <v>11</v>
      </c>
      <c r="C13" s="1" t="s">
        <v>30</v>
      </c>
      <c r="D13">
        <v>90</v>
      </c>
      <c r="E13">
        <v>40</v>
      </c>
      <c r="F13" s="1" t="s">
        <v>13</v>
      </c>
      <c r="G13" s="1" t="str">
        <f>IF(Assignment1___Data_Exploration___Dataset[[#This Row],[Price ($)]]&gt;500,"HighPrice","StandardPrice")</f>
        <v>StandardPrice</v>
      </c>
      <c r="H13" s="1" t="str">
        <f>LEFT(Assignment1___Data_Exploration___Dataset[[#This Row],[Product ID]],2)</f>
        <v>25</v>
      </c>
      <c r="I13" s="1" t="str">
        <f>RIGHT(Assignment1___Data_Exploration___Dataset[[#This Row],[Product ID]],2)</f>
        <v>AU</v>
      </c>
      <c r="J13" s="1" t="str">
        <f>MID(Assignment1___Data_Exploration___Dataset[[#This Row],[Product ID]],4,3)</f>
        <v>NOV</v>
      </c>
      <c r="K13" t="s">
        <v>97</v>
      </c>
    </row>
    <row r="14" spans="1:11" x14ac:dyDescent="0.35">
      <c r="A14" s="1" t="s">
        <v>43</v>
      </c>
      <c r="B14" s="1" t="s">
        <v>15</v>
      </c>
      <c r="C14" s="1" t="s">
        <v>44</v>
      </c>
      <c r="D14">
        <v>120</v>
      </c>
      <c r="E14">
        <v>35</v>
      </c>
      <c r="F14" s="1" t="s">
        <v>17</v>
      </c>
      <c r="G14" s="1" t="str">
        <f>IF(Assignment1___Data_Exploration___Dataset[[#This Row],[Price ($)]]&gt;500,"HighPrice","StandardPrice")</f>
        <v>StandardPrice</v>
      </c>
      <c r="H14" s="1" t="str">
        <f>LEFT(Assignment1___Data_Exploration___Dataset[[#This Row],[Product ID]],2)</f>
        <v>08</v>
      </c>
      <c r="I14" s="1" t="str">
        <f>RIGHT(Assignment1___Data_Exploration___Dataset[[#This Row],[Product ID]],2)</f>
        <v>DE</v>
      </c>
      <c r="J14" s="1" t="str">
        <f>MID(Assignment1___Data_Exploration___Dataset[[#This Row],[Product ID]],4,3)</f>
        <v>DEC</v>
      </c>
      <c r="K14" t="s">
        <v>98</v>
      </c>
    </row>
    <row r="15" spans="1:11" x14ac:dyDescent="0.35">
      <c r="A15" s="1" t="s">
        <v>45</v>
      </c>
      <c r="B15" s="1" t="s">
        <v>46</v>
      </c>
      <c r="C15" s="1" t="s">
        <v>47</v>
      </c>
      <c r="D15">
        <v>150</v>
      </c>
      <c r="E15">
        <v>15</v>
      </c>
      <c r="F15" s="1" t="s">
        <v>9</v>
      </c>
      <c r="G15" s="1" t="str">
        <f>IF(Assignment1___Data_Exploration___Dataset[[#This Row],[Price ($)]]&gt;500,"HighPrice","StandardPrice")</f>
        <v>StandardPrice</v>
      </c>
      <c r="H15" s="1" t="str">
        <f>LEFT(Assignment1___Data_Exploration___Dataset[[#This Row],[Product ID]],2)</f>
        <v>18</v>
      </c>
      <c r="I15" s="1" t="str">
        <f>RIGHT(Assignment1___Data_Exploration___Dataset[[#This Row],[Product ID]],2)</f>
        <v>CA</v>
      </c>
      <c r="J15" s="1" t="str">
        <f>MID(Assignment1___Data_Exploration___Dataset[[#This Row],[Product ID]],4,3)</f>
        <v>FEB</v>
      </c>
      <c r="K15">
        <f>MIN(Assignment1___Data_Exploration___Dataset[Price ($)])</f>
        <v>30</v>
      </c>
    </row>
    <row r="16" spans="1:11" x14ac:dyDescent="0.35">
      <c r="A16" s="1" t="s">
        <v>48</v>
      </c>
      <c r="B16" s="1" t="s">
        <v>26</v>
      </c>
      <c r="C16" s="1" t="s">
        <v>49</v>
      </c>
      <c r="D16">
        <v>250</v>
      </c>
      <c r="E16">
        <v>20</v>
      </c>
      <c r="F16" s="1" t="s">
        <v>9</v>
      </c>
      <c r="G16" s="1" t="str">
        <f>IF(Assignment1___Data_Exploration___Dataset[[#This Row],[Price ($)]]&gt;500,"HighPrice","StandardPrice")</f>
        <v>StandardPrice</v>
      </c>
      <c r="H16" s="1" t="str">
        <f>LEFT(Assignment1___Data_Exploration___Dataset[[#This Row],[Product ID]],2)</f>
        <v>16</v>
      </c>
      <c r="I16" s="1" t="str">
        <f>RIGHT(Assignment1___Data_Exploration___Dataset[[#This Row],[Product ID]],2)</f>
        <v>ES</v>
      </c>
      <c r="J16" s="1" t="str">
        <f>MID(Assignment1___Data_Exploration___Dataset[[#This Row],[Product ID]],4,3)</f>
        <v>APR</v>
      </c>
    </row>
    <row r="17" spans="1:11" x14ac:dyDescent="0.35">
      <c r="A17" s="1" t="s">
        <v>50</v>
      </c>
      <c r="B17" s="1" t="s">
        <v>51</v>
      </c>
      <c r="C17" s="1" t="s">
        <v>52</v>
      </c>
      <c r="D17">
        <v>50</v>
      </c>
      <c r="E17">
        <v>35</v>
      </c>
      <c r="F17" s="1" t="s">
        <v>53</v>
      </c>
      <c r="G17" s="1" t="str">
        <f>IF(Assignment1___Data_Exploration___Dataset[[#This Row],[Price ($)]]&gt;500,"HighPrice","StandardPrice")</f>
        <v>StandardPrice</v>
      </c>
      <c r="H17" s="1" t="str">
        <f>LEFT(Assignment1___Data_Exploration___Dataset[[#This Row],[Product ID]],2)</f>
        <v>21</v>
      </c>
      <c r="I17" s="1" t="str">
        <f>RIGHT(Assignment1___Data_Exploration___Dataset[[#This Row],[Product ID]],2)</f>
        <v>CA</v>
      </c>
      <c r="J17" s="1" t="str">
        <f>MID(Assignment1___Data_Exploration___Dataset[[#This Row],[Product ID]],4,3)</f>
        <v>AUG</v>
      </c>
      <c r="K17" t="s">
        <v>99</v>
      </c>
    </row>
    <row r="18" spans="1:11" x14ac:dyDescent="0.35">
      <c r="A18" s="1" t="s">
        <v>54</v>
      </c>
      <c r="B18" s="1" t="s">
        <v>46</v>
      </c>
      <c r="C18" s="1" t="s">
        <v>55</v>
      </c>
      <c r="D18">
        <v>160</v>
      </c>
      <c r="E18">
        <v>15</v>
      </c>
      <c r="F18" s="1" t="s">
        <v>9</v>
      </c>
      <c r="G18" s="1" t="str">
        <f>IF(Assignment1___Data_Exploration___Dataset[[#This Row],[Price ($)]]&gt;500,"HighPrice","StandardPrice")</f>
        <v>StandardPrice</v>
      </c>
      <c r="H18" s="1" t="str">
        <f>LEFT(Assignment1___Data_Exploration___Dataset[[#This Row],[Product ID]],2)</f>
        <v>20</v>
      </c>
      <c r="I18" s="1" t="str">
        <f>RIGHT(Assignment1___Data_Exploration___Dataset[[#This Row],[Product ID]],2)</f>
        <v>CN</v>
      </c>
      <c r="J18" s="1" t="str">
        <f>MID(Assignment1___Data_Exploration___Dataset[[#This Row],[Product ID]],4,3)</f>
        <v>AUG</v>
      </c>
      <c r="K18">
        <f>MAX(Assignment1___Data_Exploration___Dataset[Price ($)])</f>
        <v>1000</v>
      </c>
    </row>
    <row r="19" spans="1:11" x14ac:dyDescent="0.35">
      <c r="A19" s="1" t="s">
        <v>56</v>
      </c>
      <c r="B19" s="1" t="s">
        <v>7</v>
      </c>
      <c r="C19" s="1" t="s">
        <v>57</v>
      </c>
      <c r="D19">
        <v>980</v>
      </c>
      <c r="E19">
        <v>10</v>
      </c>
      <c r="F19" s="1" t="s">
        <v>9</v>
      </c>
      <c r="G19" s="1" t="str">
        <f>IF(Assignment1___Data_Exploration___Dataset[[#This Row],[Price ($)]]&gt;500,"HighPrice","StandardPrice")</f>
        <v>HighPrice</v>
      </c>
      <c r="H19" s="1" t="str">
        <f>LEFT(Assignment1___Data_Exploration___Dataset[[#This Row],[Product ID]],2)</f>
        <v>27</v>
      </c>
      <c r="I19" s="1" t="str">
        <f>RIGHT(Assignment1___Data_Exploration___Dataset[[#This Row],[Product ID]],2)</f>
        <v>IT</v>
      </c>
      <c r="J19" s="1" t="str">
        <f>MID(Assignment1___Data_Exploration___Dataset[[#This Row],[Product ID]],4,3)</f>
        <v>JAN</v>
      </c>
    </row>
    <row r="20" spans="1:11" x14ac:dyDescent="0.35">
      <c r="A20" s="1" t="s">
        <v>58</v>
      </c>
      <c r="B20" s="1" t="s">
        <v>59</v>
      </c>
      <c r="C20" s="1" t="s">
        <v>60</v>
      </c>
      <c r="D20">
        <v>150</v>
      </c>
      <c r="E20">
        <v>15</v>
      </c>
      <c r="F20" s="1" t="s">
        <v>13</v>
      </c>
      <c r="G20" s="1" t="str">
        <f>IF(Assignment1___Data_Exploration___Dataset[[#This Row],[Price ($)]]&gt;500,"HighPrice","StandardPrice")</f>
        <v>StandardPrice</v>
      </c>
      <c r="H20" s="1" t="str">
        <f>LEFT(Assignment1___Data_Exploration___Dataset[[#This Row],[Product ID]],2)</f>
        <v>01</v>
      </c>
      <c r="I20" s="1" t="str">
        <f>RIGHT(Assignment1___Data_Exploration___Dataset[[#This Row],[Product ID]],2)</f>
        <v>UK</v>
      </c>
      <c r="J20" s="1" t="str">
        <f>MID(Assignment1___Data_Exploration___Dataset[[#This Row],[Product ID]],4,3)</f>
        <v>MAR</v>
      </c>
    </row>
    <row r="21" spans="1:11" x14ac:dyDescent="0.35">
      <c r="A21" s="1" t="s">
        <v>61</v>
      </c>
      <c r="B21" s="1" t="s">
        <v>62</v>
      </c>
      <c r="C21" s="1" t="s">
        <v>63</v>
      </c>
      <c r="D21">
        <v>200</v>
      </c>
      <c r="E21">
        <v>10</v>
      </c>
      <c r="F21" s="1" t="s">
        <v>24</v>
      </c>
      <c r="G21" s="1" t="str">
        <f>IF(Assignment1___Data_Exploration___Dataset[[#This Row],[Price ($)]]&gt;500,"HighPrice","StandardPrice")</f>
        <v>StandardPrice</v>
      </c>
      <c r="H21" s="1" t="str">
        <f>LEFT(Assignment1___Data_Exploration___Dataset[[#This Row],[Product ID]],2)</f>
        <v>14</v>
      </c>
      <c r="I21" s="1" t="str">
        <f>RIGHT(Assignment1___Data_Exploration___Dataset[[#This Row],[Product ID]],2)</f>
        <v>US</v>
      </c>
      <c r="J21" s="1" t="str">
        <f>MID(Assignment1___Data_Exploration___Dataset[[#This Row],[Product ID]],4,3)</f>
        <v>AUG</v>
      </c>
      <c r="K21" t="s">
        <v>100</v>
      </c>
    </row>
    <row r="22" spans="1:11" x14ac:dyDescent="0.35">
      <c r="A22" s="1" t="s">
        <v>64</v>
      </c>
      <c r="B22" s="1" t="s">
        <v>65</v>
      </c>
      <c r="C22" s="1" t="s">
        <v>66</v>
      </c>
      <c r="D22">
        <v>700</v>
      </c>
      <c r="E22">
        <v>50</v>
      </c>
      <c r="F22" s="1" t="s">
        <v>9</v>
      </c>
      <c r="G22" s="1" t="str">
        <f>IF(Assignment1___Data_Exploration___Dataset[[#This Row],[Price ($)]]&gt;500,"HighPrice","StandardPrice")</f>
        <v>HighPrice</v>
      </c>
      <c r="H22" s="1" t="str">
        <f>LEFT(Assignment1___Data_Exploration___Dataset[[#This Row],[Product ID]],2)</f>
        <v>14</v>
      </c>
      <c r="I22" s="1" t="str">
        <f>RIGHT(Assignment1___Data_Exploration___Dataset[[#This Row],[Product ID]],2)</f>
        <v>RU</v>
      </c>
      <c r="J22" s="1" t="str">
        <f>MID(Assignment1___Data_Exploration___Dataset[[#This Row],[Product ID]],4,3)</f>
        <v>MAY</v>
      </c>
      <c r="K22" t="s">
        <v>101</v>
      </c>
    </row>
    <row r="23" spans="1:11" x14ac:dyDescent="0.35">
      <c r="A23" s="1" t="s">
        <v>67</v>
      </c>
      <c r="B23" s="1" t="s">
        <v>68</v>
      </c>
      <c r="C23" s="1" t="s">
        <v>69</v>
      </c>
      <c r="D23">
        <v>80</v>
      </c>
      <c r="E23">
        <v>20</v>
      </c>
      <c r="F23" s="1" t="s">
        <v>17</v>
      </c>
      <c r="G23" s="1" t="str">
        <f>IF(Assignment1___Data_Exploration___Dataset[[#This Row],[Price ($)]]&gt;500,"HighPrice","StandardPrice")</f>
        <v>StandardPrice</v>
      </c>
      <c r="H23" s="1" t="str">
        <f>LEFT(Assignment1___Data_Exploration___Dataset[[#This Row],[Product ID]],2)</f>
        <v>09</v>
      </c>
      <c r="I23" s="1" t="str">
        <f>RIGHT(Assignment1___Data_Exploration___Dataset[[#This Row],[Product ID]],2)</f>
        <v>CA</v>
      </c>
      <c r="J23" s="1" t="str">
        <f>MID(Assignment1___Data_Exploration___Dataset[[#This Row],[Product ID]],4,3)</f>
        <v>JAN</v>
      </c>
    </row>
    <row r="24" spans="1:11" x14ac:dyDescent="0.35">
      <c r="A24" s="1" t="s">
        <v>70</v>
      </c>
      <c r="B24" s="1" t="s">
        <v>71</v>
      </c>
      <c r="C24" s="1" t="s">
        <v>72</v>
      </c>
      <c r="D24">
        <v>150</v>
      </c>
      <c r="E24">
        <v>30</v>
      </c>
      <c r="F24" s="1" t="s">
        <v>9</v>
      </c>
      <c r="G24" s="1" t="str">
        <f>IF(Assignment1___Data_Exploration___Dataset[[#This Row],[Price ($)]]&gt;500,"HighPrice","StandardPrice")</f>
        <v>StandardPrice</v>
      </c>
      <c r="H24" s="1" t="str">
        <f>LEFT(Assignment1___Data_Exploration___Dataset[[#This Row],[Product ID]],2)</f>
        <v>19</v>
      </c>
      <c r="I24" s="1" t="str">
        <f>RIGHT(Assignment1___Data_Exploration___Dataset[[#This Row],[Product ID]],2)</f>
        <v>BR</v>
      </c>
      <c r="J24" s="1" t="str">
        <f>MID(Assignment1___Data_Exploration___Dataset[[#This Row],[Product ID]],4,3)</f>
        <v>JUL</v>
      </c>
    </row>
    <row r="25" spans="1:11" x14ac:dyDescent="0.35">
      <c r="A25" s="1" t="s">
        <v>50</v>
      </c>
      <c r="B25" s="1" t="s">
        <v>51</v>
      </c>
      <c r="C25" s="1" t="s">
        <v>52</v>
      </c>
      <c r="D25">
        <v>50</v>
      </c>
      <c r="E25">
        <v>35</v>
      </c>
      <c r="F25" s="1" t="s">
        <v>53</v>
      </c>
      <c r="G25" s="1" t="str">
        <f>IF(Assignment1___Data_Exploration___Dataset[[#This Row],[Price ($)]]&gt;500,"HighPrice","StandardPrice")</f>
        <v>StandardPrice</v>
      </c>
      <c r="H25" s="1" t="str">
        <f>LEFT(Assignment1___Data_Exploration___Dataset[[#This Row],[Product ID]],2)</f>
        <v>21</v>
      </c>
      <c r="I25" s="1" t="str">
        <f>RIGHT(Assignment1___Data_Exploration___Dataset[[#This Row],[Product ID]],2)</f>
        <v>CA</v>
      </c>
      <c r="J25" s="1" t="str">
        <f>MID(Assignment1___Data_Exploration___Dataset[[#This Row],[Product ID]],4,3)</f>
        <v>AUG</v>
      </c>
      <c r="K25" t="s">
        <v>103</v>
      </c>
    </row>
    <row r="26" spans="1:11" x14ac:dyDescent="0.35">
      <c r="A26" s="1" t="s">
        <v>73</v>
      </c>
      <c r="B26" s="1" t="s">
        <v>19</v>
      </c>
      <c r="C26" s="1" t="s">
        <v>74</v>
      </c>
      <c r="D26">
        <v>800</v>
      </c>
      <c r="E26">
        <v>45</v>
      </c>
      <c r="F26" s="1" t="s">
        <v>9</v>
      </c>
      <c r="G26" s="1" t="str">
        <f>IF(Assignment1___Data_Exploration___Dataset[[#This Row],[Price ($)]]&gt;500,"HighPrice","StandardPrice")</f>
        <v>HighPrice</v>
      </c>
      <c r="H26" s="1" t="str">
        <f>LEFT(Assignment1___Data_Exploration___Dataset[[#This Row],[Product ID]],2)</f>
        <v>29</v>
      </c>
      <c r="I26" s="1" t="str">
        <f>RIGHT(Assignment1___Data_Exploration___Dataset[[#This Row],[Product ID]],2)</f>
        <v>CA</v>
      </c>
      <c r="J26" s="1" t="str">
        <f>MID(Assignment1___Data_Exploration___Dataset[[#This Row],[Product ID]],4,3)</f>
        <v>SEP</v>
      </c>
      <c r="K26" s="2" t="s">
        <v>104</v>
      </c>
    </row>
    <row r="27" spans="1:11" x14ac:dyDescent="0.35">
      <c r="A27" s="1" t="s">
        <v>75</v>
      </c>
      <c r="B27" s="1" t="s">
        <v>59</v>
      </c>
      <c r="C27" s="1" t="s">
        <v>76</v>
      </c>
      <c r="D27">
        <v>130</v>
      </c>
      <c r="E27">
        <v>25</v>
      </c>
      <c r="F27" s="1" t="s">
        <v>13</v>
      </c>
      <c r="G27" s="1" t="str">
        <f>IF(Assignment1___Data_Exploration___Dataset[[#This Row],[Price ($)]]&gt;500,"HighPrice","StandardPrice")</f>
        <v>StandardPrice</v>
      </c>
      <c r="H27" s="1" t="str">
        <f>LEFT(Assignment1___Data_Exploration___Dataset[[#This Row],[Product ID]],2)</f>
        <v>03</v>
      </c>
      <c r="I27" s="1" t="str">
        <f>RIGHT(Assignment1___Data_Exploration___Dataset[[#This Row],[Product ID]],2)</f>
        <v>CA</v>
      </c>
      <c r="J27" s="1" t="str">
        <f>MID(Assignment1___Data_Exploration___Dataset[[#This Row],[Product ID]],4,3)</f>
        <v>JUN</v>
      </c>
      <c r="K27">
        <f>SUMIF(Assignment1___Data_Exploration___Dataset[Category],"Electronics",Assignment1___Data_Exploration___Dataset[Price ($)])</f>
        <v>8050</v>
      </c>
    </row>
    <row r="28" spans="1:11" x14ac:dyDescent="0.35">
      <c r="A28" s="1" t="s">
        <v>77</v>
      </c>
      <c r="B28" s="1" t="s">
        <v>32</v>
      </c>
      <c r="C28" s="1" t="s">
        <v>78</v>
      </c>
      <c r="D28">
        <v>400</v>
      </c>
      <c r="E28">
        <v>40</v>
      </c>
      <c r="F28" s="1" t="s">
        <v>17</v>
      </c>
      <c r="G28" s="1" t="str">
        <f>IF(Assignment1___Data_Exploration___Dataset[[#This Row],[Price ($)]]&gt;500,"HighPrice","StandardPrice")</f>
        <v>StandardPrice</v>
      </c>
      <c r="H28" s="1" t="str">
        <f>LEFT(Assignment1___Data_Exploration___Dataset[[#This Row],[Product ID]],2)</f>
        <v>11</v>
      </c>
      <c r="I28" s="1" t="str">
        <f>RIGHT(Assignment1___Data_Exploration___Dataset[[#This Row],[Product ID]],2)</f>
        <v>CA</v>
      </c>
      <c r="J28" s="1" t="str">
        <f>MID(Assignment1___Data_Exploration___Dataset[[#This Row],[Product ID]],4,3)</f>
        <v>JUL</v>
      </c>
    </row>
    <row r="29" spans="1:11" x14ac:dyDescent="0.35">
      <c r="A29" s="1" t="s">
        <v>48</v>
      </c>
      <c r="B29" s="1" t="s">
        <v>26</v>
      </c>
      <c r="C29" s="1" t="s">
        <v>49</v>
      </c>
      <c r="D29">
        <v>230</v>
      </c>
      <c r="E29">
        <v>20</v>
      </c>
      <c r="F29" s="1" t="s">
        <v>9</v>
      </c>
      <c r="G29" s="1" t="str">
        <f>IF(Assignment1___Data_Exploration___Dataset[[#This Row],[Price ($)]]&gt;500,"HighPrice","StandardPrice")</f>
        <v>StandardPrice</v>
      </c>
      <c r="H29" s="1" t="str">
        <f>LEFT(Assignment1___Data_Exploration___Dataset[[#This Row],[Product ID]],2)</f>
        <v>16</v>
      </c>
      <c r="I29" s="1" t="str">
        <f>RIGHT(Assignment1___Data_Exploration___Dataset[[#This Row],[Product ID]],2)</f>
        <v>ES</v>
      </c>
      <c r="J29" s="1" t="str">
        <f>MID(Assignment1___Data_Exploration___Dataset[[#This Row],[Product ID]],4,3)</f>
        <v>APR</v>
      </c>
    </row>
    <row r="30" spans="1:11" x14ac:dyDescent="0.35">
      <c r="A30" s="1" t="s">
        <v>79</v>
      </c>
      <c r="B30" s="1" t="s">
        <v>80</v>
      </c>
      <c r="C30" s="1" t="s">
        <v>81</v>
      </c>
      <c r="D30">
        <v>60</v>
      </c>
      <c r="E30">
        <v>30</v>
      </c>
      <c r="F30" s="1" t="s">
        <v>13</v>
      </c>
      <c r="G30" s="1" t="str">
        <f>IF(Assignment1___Data_Exploration___Dataset[[#This Row],[Price ($)]]&gt;500,"HighPrice","StandardPrice")</f>
        <v>StandardPrice</v>
      </c>
      <c r="H30" s="1" t="str">
        <f>LEFT(Assignment1___Data_Exploration___Dataset[[#This Row],[Product ID]],2)</f>
        <v>07</v>
      </c>
      <c r="I30" s="1" t="str">
        <f>RIGHT(Assignment1___Data_Exploration___Dataset[[#This Row],[Product ID]],2)</f>
        <v>CA</v>
      </c>
      <c r="J30" s="1" t="str">
        <f>MID(Assignment1___Data_Exploration___Dataset[[#This Row],[Product ID]],4,3)</f>
        <v>MAR</v>
      </c>
      <c r="K30" t="s">
        <v>105</v>
      </c>
    </row>
    <row r="31" spans="1:11" x14ac:dyDescent="0.35">
      <c r="A31" s="1" t="s">
        <v>82</v>
      </c>
      <c r="B31" s="1" t="s">
        <v>83</v>
      </c>
      <c r="C31" s="1" t="s">
        <v>84</v>
      </c>
      <c r="D31">
        <v>40</v>
      </c>
      <c r="E31">
        <v>10</v>
      </c>
      <c r="F31" s="1" t="s">
        <v>17</v>
      </c>
      <c r="G31" s="1" t="str">
        <f>IF(Assignment1___Data_Exploration___Dataset[[#This Row],[Price ($)]]&gt;500,"HighPrice","StandardPrice")</f>
        <v>StandardPrice</v>
      </c>
      <c r="H31" s="1" t="str">
        <f>LEFT(Assignment1___Data_Exploration___Dataset[[#This Row],[Product ID]],2)</f>
        <v>13</v>
      </c>
      <c r="I31" s="1" t="str">
        <f>RIGHT(Assignment1___Data_Exploration___Dataset[[#This Row],[Product ID]],2)</f>
        <v>CA</v>
      </c>
      <c r="J31" s="1" t="str">
        <f>MID(Assignment1___Data_Exploration___Dataset[[#This Row],[Product ID]],4,3)</f>
        <v>APR</v>
      </c>
      <c r="K31">
        <f>COUNTIF(Assignment1___Data_Exploration___Dataset[Price ($)],"&lt;100")</f>
        <v>11</v>
      </c>
    </row>
    <row r="32" spans="1:11" x14ac:dyDescent="0.35">
      <c r="A32" s="1" t="s">
        <v>85</v>
      </c>
      <c r="B32" s="1" t="s">
        <v>71</v>
      </c>
      <c r="C32" s="1" t="s">
        <v>86</v>
      </c>
      <c r="D32">
        <v>130</v>
      </c>
      <c r="E32">
        <v>5</v>
      </c>
      <c r="F32" s="1" t="s">
        <v>9</v>
      </c>
      <c r="G32" s="1" t="str">
        <f>IF(Assignment1___Data_Exploration___Dataset[[#This Row],[Price ($)]]&gt;500,"HighPrice","StandardPrice")</f>
        <v>StandardPrice</v>
      </c>
      <c r="H32" s="1" t="str">
        <f>LEFT(Assignment1___Data_Exploration___Dataset[[#This Row],[Product ID]],2)</f>
        <v>24</v>
      </c>
      <c r="I32" s="1" t="str">
        <f>RIGHT(Assignment1___Data_Exploration___Dataset[[#This Row],[Product ID]],2)</f>
        <v>CA</v>
      </c>
      <c r="J32" s="1" t="str">
        <f>MID(Assignment1___Data_Exploration___Dataset[[#This Row],[Product ID]],4,3)</f>
        <v>MAY</v>
      </c>
    </row>
    <row r="33" spans="1:11" x14ac:dyDescent="0.35">
      <c r="A33" s="1" t="s">
        <v>87</v>
      </c>
      <c r="B33" s="1" t="s">
        <v>88</v>
      </c>
      <c r="C33" s="1" t="s">
        <v>89</v>
      </c>
      <c r="D33">
        <v>50</v>
      </c>
      <c r="E33">
        <v>50</v>
      </c>
      <c r="F33" s="1" t="s">
        <v>13</v>
      </c>
      <c r="G33" s="1" t="str">
        <f>IF(Assignment1___Data_Exploration___Dataset[[#This Row],[Price ($)]]&gt;500,"HighPrice","StandardPrice")</f>
        <v>StandardPrice</v>
      </c>
      <c r="H33" s="1" t="str">
        <f>LEFT(Assignment1___Data_Exploration___Dataset[[#This Row],[Product ID]],2)</f>
        <v>02</v>
      </c>
      <c r="I33" s="1" t="str">
        <f>RIGHT(Assignment1___Data_Exploration___Dataset[[#This Row],[Product ID]],2)</f>
        <v>CA</v>
      </c>
      <c r="J33" s="1" t="str">
        <f>MID(Assignment1___Data_Exploration___Dataset[[#This Row],[Product ID]],4,3)</f>
        <v>DEC</v>
      </c>
    </row>
    <row r="34" spans="1:11" x14ac:dyDescent="0.35">
      <c r="A34" s="1" t="s">
        <v>40</v>
      </c>
      <c r="B34" s="1" t="s">
        <v>7</v>
      </c>
      <c r="C34" s="1" t="s">
        <v>41</v>
      </c>
      <c r="D34">
        <v>950</v>
      </c>
      <c r="E34">
        <v>25</v>
      </c>
      <c r="F34" s="1" t="s">
        <v>9</v>
      </c>
      <c r="G34" s="1" t="str">
        <f>IF(Assignment1___Data_Exploration___Dataset[[#This Row],[Price ($)]]&gt;500,"HighPrice","StandardPrice")</f>
        <v>HighPrice</v>
      </c>
      <c r="H34" s="1" t="str">
        <f>LEFT(Assignment1___Data_Exploration___Dataset[[#This Row],[Product ID]],2)</f>
        <v>17</v>
      </c>
      <c r="I34" s="1" t="str">
        <f>RIGHT(Assignment1___Data_Exploration___Dataset[[#This Row],[Product ID]],2)</f>
        <v>IN</v>
      </c>
      <c r="J34" s="1" t="str">
        <f>MID(Assignment1___Data_Exploration___Dataset[[#This Row],[Product ID]],4,3)</f>
        <v>JUN</v>
      </c>
    </row>
    <row r="35" spans="1:11" x14ac:dyDescent="0.35">
      <c r="A35" s="1" t="s">
        <v>90</v>
      </c>
      <c r="B35" s="1" t="s">
        <v>91</v>
      </c>
      <c r="C35" s="1" t="s">
        <v>92</v>
      </c>
      <c r="D35">
        <v>100</v>
      </c>
      <c r="E35">
        <v>20</v>
      </c>
      <c r="F35" s="1" t="s">
        <v>53</v>
      </c>
      <c r="G35" s="1" t="str">
        <f>IF(Assignment1___Data_Exploration___Dataset[[#This Row],[Price ($)]]&gt;500,"HighPrice","StandardPrice")</f>
        <v>StandardPrice</v>
      </c>
      <c r="H35" s="1" t="str">
        <f>LEFT(Assignment1___Data_Exploration___Dataset[[#This Row],[Product ID]],2)</f>
        <v>09</v>
      </c>
      <c r="I35" s="1" t="str">
        <f>RIGHT(Assignment1___Data_Exploration___Dataset[[#This Row],[Product ID]],2)</f>
        <v>FR</v>
      </c>
      <c r="J35" s="1" t="str">
        <f>MID(Assignment1___Data_Exploration___Dataset[[#This Row],[Product ID]],4,3)</f>
        <v>JUL</v>
      </c>
      <c r="K35" t="s">
        <v>108</v>
      </c>
    </row>
    <row r="36" spans="1:11" x14ac:dyDescent="0.35">
      <c r="A36" s="1"/>
      <c r="B36" s="1"/>
      <c r="C36" s="1"/>
      <c r="F36" s="1"/>
      <c r="G36" s="1"/>
      <c r="H36" s="1" t="str">
        <f>LEFT(Assignment1___Data_Exploration___Dataset[[#This Row],[Product ID]],2)</f>
        <v/>
      </c>
      <c r="I36" s="1" t="str">
        <f>RIGHT(Assignment1___Data_Exploration___Dataset[[#This Row],[Product ID]],2)</f>
        <v/>
      </c>
      <c r="J36" s="1" t="str">
        <f>MID(Assignment1___Data_Exploration___Dataset[[#This Row],[Product ID]],4,3)</f>
        <v/>
      </c>
      <c r="K36" t="s">
        <v>106</v>
      </c>
    </row>
    <row r="37" spans="1:11" x14ac:dyDescent="0.35">
      <c r="A37" s="1"/>
      <c r="B37" s="1"/>
      <c r="C37" s="1"/>
      <c r="F37" s="1"/>
      <c r="G37" s="1"/>
      <c r="H37" s="1" t="str">
        <f>LEFT(Assignment1___Data_Exploration___Dataset[[#This Row],[Product ID]],2)</f>
        <v/>
      </c>
      <c r="I37" s="1" t="str">
        <f>RIGHT(Assignment1___Data_Exploration___Dataset[[#This Row],[Product ID]],2)</f>
        <v/>
      </c>
      <c r="J37" s="1" t="str">
        <f>MID(Assignment1___Data_Exploration___Dataset[[#This Row],[Product ID]],4,3)</f>
        <v/>
      </c>
    </row>
    <row r="40" spans="1:11" x14ac:dyDescent="0.35">
      <c r="K40" t="s">
        <v>109</v>
      </c>
    </row>
    <row r="44" spans="1:11" x14ac:dyDescent="0.35">
      <c r="K44" t="s">
        <v>112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1F832-0091-4D40-9910-E97DA2A1A9DC}">
  <dimension ref="A1"/>
  <sheetViews>
    <sheetView topLeftCell="A31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9A1537-3684-4545-AFCB-43AA0689C7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Assignment1 - Data Exploration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mukkabharath reddy</dc:creator>
  <cp:lastModifiedBy>mukkabharath reddy</cp:lastModifiedBy>
  <dcterms:created xsi:type="dcterms:W3CDTF">2026-05-07T09:04:39Z</dcterms:created>
  <dcterms:modified xsi:type="dcterms:W3CDTF">2026-05-07T18:11:39Z</dcterms:modified>
</cp:coreProperties>
</file>